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Verdict Rule" sheetId="2" state="visible" r:id="rId4"/>
    <sheet name="Live Runs" sheetId="3" state="visible" r:id="rId5"/>
    <sheet name="Retests" sheetId="4" state="visible" r:id="rId6"/>
    <sheet name="Defects Fixed" sheetId="5" state="visible" r:id="rId7"/>
    <sheet name="Budg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S4 r5 cost not logged separately; included in the batch total.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From the scenario cost log (claude_calls.jsonl) after S8 r3.</t>
        </r>
      </text>
    </comment>
  </commentList>
</comments>
</file>

<file path=xl/sharedStrings.xml><?xml version="1.0" encoding="utf-8"?>
<sst xmlns="http://schemas.openxmlformats.org/spreadsheetml/2006/main" count="204" uniqueCount="158">
  <si>
    <t xml:space="preserve">Fix #2 (G1 false success): revision 2 status</t>
  </si>
  <si>
    <t xml:space="preserve">Odin-Consolidated copy only · 2026-10-11 · tag fix2-done = f902e74</t>
  </si>
  <si>
    <t xml:space="preserve">Item</t>
  </si>
  <si>
    <t xml:space="preserve">Status</t>
  </si>
  <si>
    <t xml:space="preserve">Detail</t>
  </si>
  <si>
    <t xml:space="preserve">Fix #2 overall</t>
  </si>
  <si>
    <t xml:space="preserve">Waiting for your approval</t>
  </si>
  <si>
    <t xml:space="preserve">Both requested changes made and tested</t>
  </si>
  <si>
    <t xml:space="preserve">Change 1: fixed verdict field</t>
  </si>
  <si>
    <t xml:space="preserve">Done</t>
  </si>
  <si>
    <t xml:space="preserve">PASSED / NOT_DONE / WAITING_FOR_APPROVAL; PASSED accepted only when evidence agrees; text check kept as safety net only</t>
  </si>
  <si>
    <t xml:space="preserve">Change 2: live clean pass</t>
  </si>
  <si>
    <t xml:space="preserve">S7 PASSED twice (QA ran 8 tests, OK); re-ran the tests independently: OK</t>
  </si>
  <si>
    <t xml:space="preserve">'Waiting for your approval' wording</t>
  </si>
  <si>
    <t xml:space="preserve">S8 r3 ended: Waiting for your approval — Fullstack (2b841d68b150)</t>
  </si>
  <si>
    <t xml:space="preserve">Regression + end-to-end retests</t>
  </si>
  <si>
    <t xml:space="preserve">Passed</t>
  </si>
  <si>
    <t xml:space="preserve">Regression 32/32; phase7_lifecycle and phase7_strong ALL GREEN 3/3</t>
  </si>
  <si>
    <t xml:space="preserve">Paper v1 fingerprint</t>
  </si>
  <si>
    <t xml:space="preserve">Unchanged</t>
  </si>
  <si>
    <t xml:space="preserve">2,217 files re-checked after all tests</t>
  </si>
  <si>
    <t xml:space="preserve">Safety finding F-32</t>
  </si>
  <si>
    <t xml:space="preserve">Needs your decision</t>
  </si>
  <si>
    <t xml:space="preserve">'no VM' / 'no deploy' in a pre-authorized goal triggers the firewall refresh; recommend fixing with G2</t>
  </si>
  <si>
    <t xml:space="preserve">Budget</t>
  </si>
  <si>
    <t xml:space="preserve">Paid runs stopped</t>
  </si>
  <si>
    <t xml:space="preserve">$36.92 of $40 spent; new cap needed</t>
  </si>
  <si>
    <t xml:space="preserve">Decisions needed from you</t>
  </si>
  <si>
    <t xml:space="preserve">Approve fix #2?</t>
  </si>
  <si>
    <t xml:space="preserve">Set the new cost cap</t>
  </si>
  <si>
    <t xml:space="preserve">F-32: fix together with G2, before the other G-items?</t>
  </si>
  <si>
    <t xml:space="preserve">Legend: yellow cells are for your answers.</t>
  </si>
  <si>
    <t xml:space="preserve">How pass/fail is decided now</t>
  </si>
  <si>
    <t xml:space="preserve">Outcome</t>
  </si>
  <si>
    <t xml:space="preserve">Accepted only when</t>
  </si>
  <si>
    <t xml:space="preserve">Run ends with</t>
  </si>
  <si>
    <t xml:space="preserve">PASSED</t>
  </si>
  <si>
    <t xml:space="preserve">Every listed file exists, was created/changed in this step, and is registered in odin_core (or lies in the project's own folder); a build/write task needs ≥1 such file; audit clean; QA passed if it ran</t>
  </si>
  <si>
    <t xml:space="preserve">✅ RUN FINISHED</t>
  </si>
  <si>
    <t xml:space="preserve">WAITING_FOR_APPROVAL</t>
  </si>
  <si>
    <t xml:space="preserve">An approval for this project was created during the step and is still pending</t>
  </si>
  <si>
    <t xml:space="preserve">⏳ Waiting for your approval — &lt;member&gt; (&lt;approval id&gt;)</t>
  </si>
  <si>
    <t xml:space="preserve">NOT_DONE</t>
  </si>
  <si>
    <t xml:space="preserve">Anything else, including a missing or invalid verdict field</t>
  </si>
  <si>
    <t xml:space="preserve">RUN FINISHED (open items remain), with the reason</t>
  </si>
  <si>
    <t xml:space="preserve">Safety net</t>
  </si>
  <si>
    <t xml:space="preserve">'Needs fix' anywhere in the review text blocks a PASSED claim</t>
  </si>
  <si>
    <t xml:space="preserve">—</t>
  </si>
  <si>
    <t xml:space="preserve">Live scenario runs for fix #2</t>
  </si>
  <si>
    <t xml:space="preserve">Run</t>
  </si>
  <si>
    <t xml:space="preserve">Setup</t>
  </si>
  <si>
    <t xml:space="preserve">Step outcome</t>
  </si>
  <si>
    <t xml:space="preserve">Run ended</t>
  </si>
  <si>
    <t xml:space="preserve">Cost ($)</t>
  </si>
  <si>
    <t xml:space="preserve">Notes</t>
  </si>
  <si>
    <t xml:space="preserve">S2 r7</t>
  </si>
  <si>
    <t xml:space="preserve">QA on team (skipped for DevOps step)</t>
  </si>
  <si>
    <t xml:space="preserve">Not done</t>
  </si>
  <si>
    <t xml:space="preserve">Consistent</t>
  </si>
  <si>
    <t xml:space="preserve">S4 r4</t>
  </si>
  <si>
    <t xml:space="preserve">No QA</t>
  </si>
  <si>
    <t xml:space="preserve">Passed (false pass)</t>
  </si>
  <si>
    <t xml:space="preserve">Found defect → fix #2b, then superseded by #2c</t>
  </si>
  <si>
    <t xml:space="preserve">S4 r5</t>
  </si>
  <si>
    <t xml:space="preserve">S4 r6</t>
  </si>
  <si>
    <t xml:space="preserve">S1 r4</t>
  </si>
  <si>
    <t xml:space="preserve">S7 r1</t>
  </si>
  <si>
    <t xml:space="preserve">Fullstack + QA, pre-authorized</t>
  </si>
  <si>
    <t xml:space="preserve">Clean pass; QA ran 8 tests OK</t>
  </si>
  <si>
    <t xml:space="preserve">S8 r1</t>
  </si>
  <si>
    <t xml:space="preserve">Fullstack + QA, needs approval</t>
  </si>
  <si>
    <t xml:space="preserve">Incomplete</t>
  </si>
  <si>
    <t xml:space="preserve">Found defect → fix #2d (3 duplicate approvals)</t>
  </si>
  <si>
    <t xml:space="preserve">S8 r2</t>
  </si>
  <si>
    <t xml:space="preserve">Found defect → fix #2e</t>
  </si>
  <si>
    <t xml:space="preserve">S7 r2</t>
  </si>
  <si>
    <t xml:space="preserve">Clean pass repeated</t>
  </si>
  <si>
    <t xml:space="preserve">S8 r3</t>
  </si>
  <si>
    <t xml:space="preserve">Waiting</t>
  </si>
  <si>
    <t xml:space="preserve">Waiting for your approval — 1 proposal, no duplicates</t>
  </si>
  <si>
    <t xml:space="preserve">Logged total</t>
  </si>
  <si>
    <t xml:space="preserve">Regression and end-to-end retests (after fix #2e)</t>
  </si>
  <si>
    <t xml:space="preserve">Test</t>
  </si>
  <si>
    <t xml:space="preserve">Before (fix1-done)</t>
  </si>
  <si>
    <t xml:space="preserve">After (f902e74)</t>
  </si>
  <si>
    <t xml:space="preserve">Verdict</t>
  </si>
  <si>
    <t xml:space="preserve">Regression suite</t>
  </si>
  <si>
    <t xml:space="preserve">32/32</t>
  </si>
  <si>
    <t xml:space="preserve">Pass</t>
  </si>
  <si>
    <t xml:space="preserve">phase7_lifecycle</t>
  </si>
  <si>
    <t xml:space="preserve">ALL GREEN 1/1</t>
  </si>
  <si>
    <t xml:space="preserve">ALL GREEN 3/3</t>
  </si>
  <si>
    <t xml:space="preserve">phase7_strong</t>
  </si>
  <si>
    <t xml:space="preserve">Unit: fixed field + evidence</t>
  </si>
  <si>
    <t xml:space="preserve">28/28</t>
  </si>
  <si>
    <t xml:space="preserve">Unit: earlier checks (77 real reviews, SOC, engine guard)</t>
  </si>
  <si>
    <t xml:space="preserve">ALL PASS</t>
  </si>
  <si>
    <t xml:space="preserve">Phase 2 runs re-read</t>
  </si>
  <si>
    <t xml:space="preserve">14/15 falsely passed</t>
  </si>
  <si>
    <t xml:space="preserve">None could pass</t>
  </si>
  <si>
    <t xml:space="preserve">v1 history re-read</t>
  </si>
  <si>
    <t xml:space="preserve">7 of 11 '✅' claims unsupported</t>
  </si>
  <si>
    <t xml:space="preserve">Defects found and fixed during testing</t>
  </si>
  <si>
    <t xml:space="preserve">Fix</t>
  </si>
  <si>
    <t xml:space="preserve">Found by</t>
  </si>
  <si>
    <t xml:space="preserve">Problem</t>
  </si>
  <si>
    <t xml:space="preserve">Fix applied</t>
  </si>
  <si>
    <t xml:space="preserve">#2b</t>
  </si>
  <si>
    <t xml:space="preserve">Review opening 'Confirmed via filesystem…' then 'Needs fix' was read as passed</t>
  </si>
  <si>
    <t xml:space="preserve">Superseded by #2c (fixed verdict field)</t>
  </si>
  <si>
    <t xml:space="preserve">#2d</t>
  </si>
  <si>
    <t xml:space="preserve">Waiting proposal treated as 'zero files'; re-proposed every retry (3 duplicate approvals); run ended 'Incomplete'</t>
  </si>
  <si>
    <t xml:space="preserve">Pending approval stops retries, skips build halt and QA, is named to the reviewer</t>
  </si>
  <si>
    <t xml:space="preserve">#2e</t>
  </si>
  <si>
    <t xml:space="preserve">Reviewer opened 'Needs fix:' while field correctly said WAITING; text net overrode it</t>
  </si>
  <si>
    <t xml:space="preserve">Text net guards PASSED only; prompt offers 'Waiting:' opener</t>
  </si>
  <si>
    <t xml:space="preserve">Safety finding (not caused by fix #2)</t>
  </si>
  <si>
    <t xml:space="preserve">ID</t>
  </si>
  <si>
    <t xml:space="preserve">Severity</t>
  </si>
  <si>
    <t xml:space="preserve">Finding</t>
  </si>
  <si>
    <t xml:space="preserve">Recommendation</t>
  </si>
  <si>
    <t xml:space="preserve">F-32</t>
  </si>
  <si>
    <t xml:space="preserve">High</t>
  </si>
  <si>
    <t xml:space="preserve">In a pre-authorized run, 'no VM' / 'no deploy' in the goal triggers the Azure firewall refresh incl. ufw rotation (api_v2.py l.1077 keyword match). Blocked by shims in the copy; would hit production in v1.</t>
  </si>
  <si>
    <t xml:space="preserve">Fix with G2 (step 3.4), before other G-items — your decision</t>
  </si>
  <si>
    <t xml:space="preserve">Cost and estimates</t>
  </si>
  <si>
    <t xml:space="preserve">Blue = inputs from the run logs and the estimate given; black = formulas</t>
  </si>
  <si>
    <t xml:space="preserve">Current cap ($)</t>
  </si>
  <si>
    <t xml:space="preserve">Spent before fix #2 ($)</t>
  </si>
  <si>
    <t xml:space="preserve">Spent now ($)</t>
  </si>
  <si>
    <t xml:space="preserve">Fix #2 cost ($)</t>
  </si>
  <si>
    <t xml:space="preserve">Remaining under current cap ($)</t>
  </si>
  <si>
    <t xml:space="preserve">Rest of Phase 3 (estimate)</t>
  </si>
  <si>
    <t xml:space="preserve">Work item</t>
  </si>
  <si>
    <t xml:space="preserve">Low ($)</t>
  </si>
  <si>
    <t xml:space="preserve">High ($)</t>
  </si>
  <si>
    <t xml:space="preserve">Midpoint ($)</t>
  </si>
  <si>
    <t xml:space="preserve">Finish fix #2 (done)</t>
  </si>
  <si>
    <t xml:space="preserve">Fix #3 approval bypass</t>
  </si>
  <si>
    <t xml:space="preserve">G2, G11, G12 reruns</t>
  </si>
  <si>
    <t xml:space="preserve">G9, G10, G13</t>
  </si>
  <si>
    <t xml:space="preserve">Audit G5–G8, F-07</t>
  </si>
  <si>
    <t xml:space="preserve">F-06, F-08</t>
  </si>
  <si>
    <t xml:space="preserve">F-24 … F-31</t>
  </si>
  <si>
    <t xml:space="preserve">Phase 3 gate sweep S1–S6</t>
  </si>
  <si>
    <t xml:space="preserve">F-14, dry-run fix</t>
  </si>
  <si>
    <t xml:space="preserve">Phase 3 subtotal</t>
  </si>
  <si>
    <t xml:space="preserve">Note: the summed line items give the range above; the estimate quoted in chat was about $45–75 (best guess ~$60) after rounding.</t>
  </si>
  <si>
    <t xml:space="preserve">Phase 4 local decider (estimate)</t>
  </si>
  <si>
    <t xml:space="preserve">4a LLM baseline (~300 decisions ×3)</t>
  </si>
  <si>
    <t xml:space="preserve">4d training labels (2,000–5,000 examples)</t>
  </si>
  <si>
    <t xml:space="preserve">4f real scenarios, both modes ×3</t>
  </si>
  <si>
    <t xml:space="preserve">4b, 4c, 4e, 4g (local on the M4)</t>
  </si>
  <si>
    <t xml:space="preserve">Phase 4 subtotal</t>
  </si>
  <si>
    <t xml:space="preserve">Phase 3 rest + Phase 4</t>
  </si>
  <si>
    <t xml:space="preserve">Spent so far + all estimates</t>
  </si>
  <si>
    <t xml:space="preserve">Your new cap ($)</t>
  </si>
  <si>
    <t xml:space="preserve">Legend: enter your new cap in the yellow cell.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</si>
</sst>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26.8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9</v>
      </c>
      <c r="C7" s="4" t="s">
        <v>12</v>
      </c>
    </row>
    <row r="8" customFormat="false" ht="15" hidden="false" customHeight="false" outlineLevel="0" collapsed="false">
      <c r="A8" s="4" t="s">
        <v>13</v>
      </c>
      <c r="B8" s="4" t="s">
        <v>9</v>
      </c>
      <c r="C8" s="4" t="s">
        <v>14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17</v>
      </c>
    </row>
    <row r="10" customFormat="false" ht="15" hidden="false" customHeight="false" outlineLevel="0" collapsed="false">
      <c r="A10" s="4" t="s">
        <v>18</v>
      </c>
      <c r="B10" s="4" t="s">
        <v>19</v>
      </c>
      <c r="C10" s="4" t="s">
        <v>20</v>
      </c>
    </row>
    <row r="11" customFormat="false" ht="26.85" hidden="false" customHeight="false" outlineLevel="0" collapsed="false">
      <c r="A11" s="4" t="s">
        <v>21</v>
      </c>
      <c r="B11" s="4" t="s">
        <v>22</v>
      </c>
      <c r="C11" s="4" t="s">
        <v>23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26</v>
      </c>
    </row>
    <row r="14" customFormat="false" ht="15" hidden="false" customHeight="false" outlineLevel="0" collapsed="false">
      <c r="A14" s="5" t="s">
        <v>27</v>
      </c>
    </row>
    <row r="15" customFormat="false" ht="15" hidden="false" customHeight="false" outlineLevel="0" collapsed="false">
      <c r="A15" s="6" t="s">
        <v>28</v>
      </c>
      <c r="B15" s="7"/>
    </row>
    <row r="16" customFormat="false" ht="15" hidden="false" customHeight="false" outlineLevel="0" collapsed="false">
      <c r="A16" s="6" t="s">
        <v>29</v>
      </c>
      <c r="B16" s="7"/>
    </row>
    <row r="17" customFormat="false" ht="15" hidden="false" customHeight="false" outlineLevel="0" collapsed="false">
      <c r="A17" s="6" t="s">
        <v>30</v>
      </c>
      <c r="B17" s="7"/>
    </row>
    <row r="18" customFormat="false" ht="15" hidden="false" customHeight="false" outlineLevel="0" collapsed="false">
      <c r="A18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32</v>
      </c>
    </row>
    <row r="3" customFormat="false" ht="15" hidden="false" customHeight="false" outlineLevel="0" collapsed="false">
      <c r="A3" s="3" t="s">
        <v>33</v>
      </c>
      <c r="B3" s="3" t="s">
        <v>34</v>
      </c>
      <c r="C3" s="3" t="s">
        <v>35</v>
      </c>
    </row>
    <row r="4" customFormat="false" ht="26.85" hidden="false" customHeight="false" outlineLevel="0" collapsed="false">
      <c r="A4" s="4" t="s">
        <v>36</v>
      </c>
      <c r="B4" s="4" t="s">
        <v>37</v>
      </c>
      <c r="C4" s="4" t="s">
        <v>38</v>
      </c>
    </row>
    <row r="5" customFormat="false" ht="26.85" hidden="false" customHeight="false" outlineLevel="0" collapsed="false">
      <c r="A5" s="4" t="s">
        <v>39</v>
      </c>
      <c r="B5" s="4" t="s">
        <v>40</v>
      </c>
      <c r="C5" s="4" t="s">
        <v>41</v>
      </c>
    </row>
    <row r="6" customFormat="false" ht="26.85" hidden="false" customHeight="false" outlineLevel="0" collapsed="false">
      <c r="A6" s="4" t="s">
        <v>42</v>
      </c>
      <c r="B6" s="4" t="s">
        <v>43</v>
      </c>
      <c r="C6" s="4" t="s">
        <v>44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48</v>
      </c>
    </row>
    <row r="3" customFormat="false" ht="15" hidden="false" customHeight="false" outlineLevel="0" collapsed="false">
      <c r="A3" s="3" t="s">
        <v>49</v>
      </c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</row>
    <row r="4" customFormat="false" ht="26.85" hidden="false" customHeight="false" outlineLevel="0" collapsed="false">
      <c r="A4" s="4" t="s">
        <v>55</v>
      </c>
      <c r="B4" s="4" t="s">
        <v>56</v>
      </c>
      <c r="C4" s="4" t="s">
        <v>42</v>
      </c>
      <c r="D4" s="4" t="s">
        <v>57</v>
      </c>
      <c r="E4" s="8" t="n">
        <v>1.9177</v>
      </c>
      <c r="F4" s="4" t="s">
        <v>58</v>
      </c>
    </row>
    <row r="5" customFormat="false" ht="15" hidden="false" customHeight="false" outlineLevel="0" collapsed="false">
      <c r="A5" s="4" t="s">
        <v>59</v>
      </c>
      <c r="B5" s="4" t="s">
        <v>60</v>
      </c>
      <c r="C5" s="4" t="s">
        <v>61</v>
      </c>
      <c r="D5" s="4" t="s">
        <v>16</v>
      </c>
      <c r="E5" s="8" t="n">
        <v>0.8261</v>
      </c>
      <c r="F5" s="4" t="s">
        <v>62</v>
      </c>
    </row>
    <row r="6" customFormat="false" ht="15" hidden="false" customHeight="false" outlineLevel="0" collapsed="false">
      <c r="A6" s="4" t="s">
        <v>63</v>
      </c>
      <c r="B6" s="4" t="s">
        <v>60</v>
      </c>
      <c r="C6" s="4" t="s">
        <v>42</v>
      </c>
      <c r="D6" s="4" t="s">
        <v>57</v>
      </c>
      <c r="E6" s="8"/>
      <c r="F6" s="4" t="s">
        <v>58</v>
      </c>
    </row>
    <row r="7" customFormat="false" ht="15" hidden="false" customHeight="false" outlineLevel="0" collapsed="false">
      <c r="A7" s="4" t="s">
        <v>64</v>
      </c>
      <c r="B7" s="4" t="s">
        <v>60</v>
      </c>
      <c r="C7" s="4" t="s">
        <v>42</v>
      </c>
      <c r="D7" s="4" t="s">
        <v>57</v>
      </c>
      <c r="E7" s="8" t="n">
        <v>1.8808</v>
      </c>
      <c r="F7" s="4" t="s">
        <v>58</v>
      </c>
    </row>
    <row r="8" customFormat="false" ht="15" hidden="false" customHeight="false" outlineLevel="0" collapsed="false">
      <c r="A8" s="4" t="s">
        <v>65</v>
      </c>
      <c r="B8" s="4" t="s">
        <v>47</v>
      </c>
      <c r="C8" s="4" t="s">
        <v>42</v>
      </c>
      <c r="D8" s="4" t="s">
        <v>57</v>
      </c>
      <c r="E8" s="8" t="n">
        <v>0.9955</v>
      </c>
      <c r="F8" s="4" t="s">
        <v>58</v>
      </c>
    </row>
    <row r="9" customFormat="false" ht="15" hidden="false" customHeight="false" outlineLevel="0" collapsed="false">
      <c r="A9" s="4" t="s">
        <v>66</v>
      </c>
      <c r="B9" s="4" t="s">
        <v>67</v>
      </c>
      <c r="C9" s="4" t="s">
        <v>36</v>
      </c>
      <c r="D9" s="4" t="s">
        <v>36</v>
      </c>
      <c r="E9" s="8" t="n">
        <v>0.9043</v>
      </c>
      <c r="F9" s="4" t="s">
        <v>68</v>
      </c>
    </row>
    <row r="10" customFormat="false" ht="15" hidden="false" customHeight="false" outlineLevel="0" collapsed="false">
      <c r="A10" s="4" t="s">
        <v>69</v>
      </c>
      <c r="B10" s="4" t="s">
        <v>70</v>
      </c>
      <c r="C10" s="4" t="s">
        <v>71</v>
      </c>
      <c r="D10" s="4" t="s">
        <v>57</v>
      </c>
      <c r="E10" s="8" t="n">
        <v>1.0832</v>
      </c>
      <c r="F10" s="4" t="s">
        <v>72</v>
      </c>
    </row>
    <row r="11" customFormat="false" ht="15" hidden="false" customHeight="false" outlineLevel="0" collapsed="false">
      <c r="A11" s="4" t="s">
        <v>73</v>
      </c>
      <c r="B11" s="4" t="s">
        <v>70</v>
      </c>
      <c r="C11" s="4" t="s">
        <v>42</v>
      </c>
      <c r="D11" s="4" t="s">
        <v>57</v>
      </c>
      <c r="E11" s="8" t="n">
        <v>0.703</v>
      </c>
      <c r="F11" s="4" t="s">
        <v>74</v>
      </c>
    </row>
    <row r="12" customFormat="false" ht="15" hidden="false" customHeight="false" outlineLevel="0" collapsed="false">
      <c r="A12" s="4" t="s">
        <v>75</v>
      </c>
      <c r="B12" s="4" t="s">
        <v>67</v>
      </c>
      <c r="C12" s="4" t="s">
        <v>36</v>
      </c>
      <c r="D12" s="4" t="s">
        <v>36</v>
      </c>
      <c r="E12" s="8" t="n">
        <v>0.8922</v>
      </c>
      <c r="F12" s="4" t="s">
        <v>76</v>
      </c>
    </row>
    <row r="13" customFormat="false" ht="26.85" hidden="false" customHeight="false" outlineLevel="0" collapsed="false">
      <c r="A13" s="4" t="s">
        <v>77</v>
      </c>
      <c r="B13" s="4" t="s">
        <v>70</v>
      </c>
      <c r="C13" s="4" t="s">
        <v>39</v>
      </c>
      <c r="D13" s="4" t="s">
        <v>78</v>
      </c>
      <c r="E13" s="8" t="n">
        <v>0.7202</v>
      </c>
      <c r="F13" s="4" t="s">
        <v>79</v>
      </c>
    </row>
    <row r="15" customFormat="false" ht="15" hidden="false" customHeight="false" outlineLevel="0" collapsed="false">
      <c r="D15" s="5" t="s">
        <v>80</v>
      </c>
      <c r="E15" s="9" t="n">
        <f aca="false">SUM(E4:E13)</f>
        <v>9.923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81</v>
      </c>
    </row>
    <row r="3" customFormat="false" ht="15" hidden="false" customHeight="false" outlineLevel="0" collapsed="false">
      <c r="A3" s="3" t="s">
        <v>82</v>
      </c>
      <c r="B3" s="3" t="s">
        <v>83</v>
      </c>
      <c r="C3" s="3" t="s">
        <v>84</v>
      </c>
      <c r="D3" s="3" t="s">
        <v>85</v>
      </c>
    </row>
    <row r="4" customFormat="false" ht="15" hidden="false" customHeight="false" outlineLevel="0" collapsed="false">
      <c r="A4" s="4" t="s">
        <v>86</v>
      </c>
      <c r="B4" s="4" t="s">
        <v>87</v>
      </c>
      <c r="C4" s="4" t="s">
        <v>87</v>
      </c>
      <c r="D4" s="4" t="s">
        <v>88</v>
      </c>
    </row>
    <row r="5" customFormat="false" ht="15" hidden="false" customHeight="false" outlineLevel="0" collapsed="false">
      <c r="A5" s="4" t="s">
        <v>89</v>
      </c>
      <c r="B5" s="4" t="s">
        <v>90</v>
      </c>
      <c r="C5" s="4" t="s">
        <v>91</v>
      </c>
      <c r="D5" s="4" t="s">
        <v>88</v>
      </c>
    </row>
    <row r="6" customFormat="false" ht="15" hidden="false" customHeight="false" outlineLevel="0" collapsed="false">
      <c r="A6" s="4" t="s">
        <v>92</v>
      </c>
      <c r="B6" s="4" t="s">
        <v>90</v>
      </c>
      <c r="C6" s="4" t="s">
        <v>91</v>
      </c>
      <c r="D6" s="4" t="s">
        <v>88</v>
      </c>
    </row>
    <row r="7" customFormat="false" ht="15" hidden="false" customHeight="false" outlineLevel="0" collapsed="false">
      <c r="A7" s="4" t="s">
        <v>93</v>
      </c>
      <c r="B7" s="4" t="s">
        <v>47</v>
      </c>
      <c r="C7" s="4" t="s">
        <v>94</v>
      </c>
      <c r="D7" s="4" t="s">
        <v>88</v>
      </c>
    </row>
    <row r="8" customFormat="false" ht="26.85" hidden="false" customHeight="false" outlineLevel="0" collapsed="false">
      <c r="A8" s="4" t="s">
        <v>95</v>
      </c>
      <c r="B8" s="4" t="s">
        <v>47</v>
      </c>
      <c r="C8" s="4" t="s">
        <v>96</v>
      </c>
      <c r="D8" s="4" t="s">
        <v>88</v>
      </c>
    </row>
    <row r="9" customFormat="false" ht="15" hidden="false" customHeight="false" outlineLevel="0" collapsed="false">
      <c r="A9" s="4" t="s">
        <v>97</v>
      </c>
      <c r="B9" s="4" t="s">
        <v>98</v>
      </c>
      <c r="C9" s="4" t="s">
        <v>99</v>
      </c>
      <c r="D9" s="4" t="s">
        <v>88</v>
      </c>
    </row>
    <row r="10" customFormat="false" ht="15" hidden="false" customHeight="false" outlineLevel="0" collapsed="false">
      <c r="A10" s="4" t="s">
        <v>100</v>
      </c>
      <c r="B10" s="4" t="s">
        <v>101</v>
      </c>
      <c r="C10" s="4" t="s">
        <v>99</v>
      </c>
      <c r="D10" s="4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6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3" t="s">
        <v>103</v>
      </c>
      <c r="B3" s="3" t="s">
        <v>104</v>
      </c>
      <c r="C3" s="3" t="s">
        <v>105</v>
      </c>
      <c r="D3" s="3" t="s">
        <v>106</v>
      </c>
    </row>
    <row r="4" customFormat="false" ht="26.85" hidden="false" customHeight="false" outlineLevel="0" collapsed="false">
      <c r="A4" s="4" t="s">
        <v>107</v>
      </c>
      <c r="B4" s="4" t="s">
        <v>59</v>
      </c>
      <c r="C4" s="4" t="s">
        <v>108</v>
      </c>
      <c r="D4" s="4" t="s">
        <v>109</v>
      </c>
    </row>
    <row r="5" customFormat="false" ht="26.85" hidden="false" customHeight="false" outlineLevel="0" collapsed="false">
      <c r="A5" s="4" t="s">
        <v>110</v>
      </c>
      <c r="B5" s="4" t="s">
        <v>69</v>
      </c>
      <c r="C5" s="4" t="s">
        <v>111</v>
      </c>
      <c r="D5" s="4" t="s">
        <v>112</v>
      </c>
    </row>
    <row r="6" customFormat="false" ht="26.85" hidden="false" customHeight="false" outlineLevel="0" collapsed="false">
      <c r="A6" s="4" t="s">
        <v>113</v>
      </c>
      <c r="B6" s="4" t="s">
        <v>73</v>
      </c>
      <c r="C6" s="4" t="s">
        <v>114</v>
      </c>
      <c r="D6" s="4" t="s">
        <v>115</v>
      </c>
    </row>
    <row r="8" customFormat="false" ht="15" hidden="false" customHeight="false" outlineLevel="0" collapsed="false">
      <c r="A8" s="5" t="s">
        <v>116</v>
      </c>
    </row>
    <row r="9" customFormat="false" ht="15" hidden="false" customHeight="false" outlineLevel="0" collapsed="false">
      <c r="A9" s="3" t="s">
        <v>117</v>
      </c>
      <c r="B9" s="3" t="s">
        <v>118</v>
      </c>
      <c r="C9" s="3" t="s">
        <v>119</v>
      </c>
      <c r="D9" s="3" t="s">
        <v>120</v>
      </c>
    </row>
    <row r="10" customFormat="false" ht="39.55" hidden="false" customHeight="false" outlineLevel="0" collapsed="false">
      <c r="A10" s="4" t="s">
        <v>121</v>
      </c>
      <c r="B10" s="4" t="s">
        <v>122</v>
      </c>
      <c r="C10" s="4" t="s">
        <v>123</v>
      </c>
      <c r="D10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6" t="s">
        <v>127</v>
      </c>
      <c r="B4" s="10" t="n">
        <v>40</v>
      </c>
    </row>
    <row r="5" customFormat="false" ht="15" hidden="false" customHeight="false" outlineLevel="0" collapsed="false">
      <c r="A5" s="6" t="s">
        <v>128</v>
      </c>
      <c r="B5" s="10" t="n">
        <v>25.91</v>
      </c>
    </row>
    <row r="6" customFormat="false" ht="15" hidden="false" customHeight="false" outlineLevel="0" collapsed="false">
      <c r="A6" s="6" t="s">
        <v>129</v>
      </c>
      <c r="B6" s="10" t="n">
        <v>36.92</v>
      </c>
    </row>
    <row r="7" customFormat="false" ht="15" hidden="false" customHeight="false" outlineLevel="0" collapsed="false">
      <c r="A7" s="6" t="s">
        <v>130</v>
      </c>
      <c r="B7" s="11" t="n">
        <f aca="false">B6-B5</f>
        <v>11.01</v>
      </c>
    </row>
    <row r="8" customFormat="false" ht="15" hidden="false" customHeight="false" outlineLevel="0" collapsed="false">
      <c r="A8" s="6" t="s">
        <v>131</v>
      </c>
      <c r="B8" s="11" t="n">
        <f aca="false">B4-B6</f>
        <v>3.08</v>
      </c>
    </row>
    <row r="10" customFormat="false" ht="15" hidden="false" customHeight="false" outlineLevel="0" collapsed="false">
      <c r="A10" s="5" t="s">
        <v>132</v>
      </c>
    </row>
    <row r="11" customFormat="false" ht="15" hidden="false" customHeight="false" outlineLevel="0" collapsed="false">
      <c r="A11" s="12" t="s">
        <v>133</v>
      </c>
      <c r="B11" s="12" t="s">
        <v>134</v>
      </c>
      <c r="C11" s="12" t="s">
        <v>135</v>
      </c>
      <c r="D11" s="12" t="s">
        <v>136</v>
      </c>
    </row>
    <row r="12" customFormat="false" ht="15" hidden="false" customHeight="false" outlineLevel="0" collapsed="false">
      <c r="A12" s="6" t="s">
        <v>137</v>
      </c>
      <c r="B12" s="13" t="n">
        <v>3</v>
      </c>
      <c r="C12" s="13" t="n">
        <v>5</v>
      </c>
      <c r="D12" s="14" t="n">
        <f aca="false">AVERAGE(B12:C12)</f>
        <v>4</v>
      </c>
    </row>
    <row r="13" customFormat="false" ht="15" hidden="false" customHeight="false" outlineLevel="0" collapsed="false">
      <c r="A13" s="6" t="s">
        <v>138</v>
      </c>
      <c r="B13" s="13" t="n">
        <v>2</v>
      </c>
      <c r="C13" s="13" t="n">
        <v>4</v>
      </c>
      <c r="D13" s="14" t="n">
        <f aca="false">AVERAGE(B13:C13)</f>
        <v>3</v>
      </c>
    </row>
    <row r="14" customFormat="false" ht="15" hidden="false" customHeight="false" outlineLevel="0" collapsed="false">
      <c r="A14" s="6" t="s">
        <v>139</v>
      </c>
      <c r="B14" s="13" t="n">
        <v>8</v>
      </c>
      <c r="C14" s="13" t="n">
        <v>13</v>
      </c>
      <c r="D14" s="14" t="n">
        <f aca="false">AVERAGE(B14:C14)</f>
        <v>10.5</v>
      </c>
    </row>
    <row r="15" customFormat="false" ht="15" hidden="false" customHeight="false" outlineLevel="0" collapsed="false">
      <c r="A15" s="6" t="s">
        <v>140</v>
      </c>
      <c r="B15" s="13" t="n">
        <v>6</v>
      </c>
      <c r="C15" s="13" t="n">
        <v>9</v>
      </c>
      <c r="D15" s="14" t="n">
        <f aca="false">AVERAGE(B15:C15)</f>
        <v>7.5</v>
      </c>
    </row>
    <row r="16" customFormat="false" ht="15" hidden="false" customHeight="false" outlineLevel="0" collapsed="false">
      <c r="A16" s="6" t="s">
        <v>141</v>
      </c>
      <c r="B16" s="13" t="n">
        <v>2</v>
      </c>
      <c r="C16" s="13" t="n">
        <v>4</v>
      </c>
      <c r="D16" s="14" t="n">
        <f aca="false">AVERAGE(B16:C16)</f>
        <v>3</v>
      </c>
    </row>
    <row r="17" customFormat="false" ht="15" hidden="false" customHeight="false" outlineLevel="0" collapsed="false">
      <c r="A17" s="6" t="s">
        <v>142</v>
      </c>
      <c r="B17" s="13" t="n">
        <v>3</v>
      </c>
      <c r="C17" s="13" t="n">
        <v>5</v>
      </c>
      <c r="D17" s="14" t="n">
        <f aca="false">AVERAGE(B17:C17)</f>
        <v>4</v>
      </c>
    </row>
    <row r="18" customFormat="false" ht="15" hidden="false" customHeight="false" outlineLevel="0" collapsed="false">
      <c r="A18" s="6" t="s">
        <v>143</v>
      </c>
      <c r="B18" s="13" t="n">
        <v>10</v>
      </c>
      <c r="C18" s="13" t="n">
        <v>20</v>
      </c>
      <c r="D18" s="14" t="n">
        <f aca="false">AVERAGE(B18:C18)</f>
        <v>15</v>
      </c>
    </row>
    <row r="19" customFormat="false" ht="15" hidden="false" customHeight="false" outlineLevel="0" collapsed="false">
      <c r="A19" s="6" t="s">
        <v>144</v>
      </c>
      <c r="B19" s="13" t="n">
        <v>8</v>
      </c>
      <c r="C19" s="13" t="n">
        <v>10</v>
      </c>
      <c r="D19" s="14" t="n">
        <f aca="false">AVERAGE(B19:C19)</f>
        <v>9</v>
      </c>
    </row>
    <row r="20" customFormat="false" ht="15" hidden="false" customHeight="false" outlineLevel="0" collapsed="false">
      <c r="A20" s="6" t="s">
        <v>145</v>
      </c>
      <c r="B20" s="13" t="n">
        <v>0</v>
      </c>
      <c r="C20" s="13" t="n">
        <v>0</v>
      </c>
      <c r="D20" s="14" t="n">
        <f aca="false">AVERAGE(B20:C20)</f>
        <v>0</v>
      </c>
    </row>
    <row r="21" customFormat="false" ht="15" hidden="false" customHeight="false" outlineLevel="0" collapsed="false">
      <c r="A21" s="5" t="s">
        <v>146</v>
      </c>
      <c r="B21" s="15" t="n">
        <f aca="false">SUM(B12:B20)</f>
        <v>42</v>
      </c>
      <c r="C21" s="15" t="n">
        <f aca="false">SUM(C12:C20)</f>
        <v>70</v>
      </c>
      <c r="D21" s="15" t="n">
        <f aca="false">SUM(D12:D20)</f>
        <v>56</v>
      </c>
    </row>
    <row r="22" customFormat="false" ht="15" hidden="false" customHeight="false" outlineLevel="0" collapsed="false">
      <c r="A22" s="2" t="s">
        <v>147</v>
      </c>
      <c r="B22" s="16"/>
      <c r="C22" s="16"/>
      <c r="D22" s="16"/>
    </row>
    <row r="23" customFormat="false" ht="15" hidden="false" customHeight="false" outlineLevel="0" collapsed="false">
      <c r="B23" s="16"/>
      <c r="C23" s="16"/>
      <c r="D23" s="16"/>
    </row>
    <row r="24" customFormat="false" ht="15" hidden="false" customHeight="false" outlineLevel="0" collapsed="false">
      <c r="A24" s="5" t="s">
        <v>148</v>
      </c>
      <c r="B24" s="16"/>
      <c r="C24" s="16"/>
      <c r="D24" s="16"/>
    </row>
    <row r="25" customFormat="false" ht="15" hidden="false" customHeight="false" outlineLevel="0" collapsed="false">
      <c r="A25" s="12" t="s">
        <v>133</v>
      </c>
      <c r="B25" s="17" t="s">
        <v>134</v>
      </c>
      <c r="C25" s="17" t="s">
        <v>135</v>
      </c>
      <c r="D25" s="17" t="s">
        <v>136</v>
      </c>
    </row>
    <row r="26" customFormat="false" ht="15" hidden="false" customHeight="false" outlineLevel="0" collapsed="false">
      <c r="A26" s="6" t="s">
        <v>149</v>
      </c>
      <c r="B26" s="13" t="n">
        <v>30</v>
      </c>
      <c r="C26" s="13" t="n">
        <v>80</v>
      </c>
      <c r="D26" s="14" t="n">
        <f aca="false">AVERAGE(B26:C26)</f>
        <v>55</v>
      </c>
    </row>
    <row r="27" customFormat="false" ht="15" hidden="false" customHeight="false" outlineLevel="0" collapsed="false">
      <c r="A27" s="6" t="s">
        <v>150</v>
      </c>
      <c r="B27" s="13" t="n">
        <v>50</v>
      </c>
      <c r="C27" s="13" t="n">
        <v>150</v>
      </c>
      <c r="D27" s="14" t="n">
        <f aca="false">AVERAGE(B27:C27)</f>
        <v>100</v>
      </c>
    </row>
    <row r="28" customFormat="false" ht="15" hidden="false" customHeight="false" outlineLevel="0" collapsed="false">
      <c r="A28" s="6" t="s">
        <v>151</v>
      </c>
      <c r="B28" s="13" t="n">
        <v>40</v>
      </c>
      <c r="C28" s="13" t="n">
        <v>100</v>
      </c>
      <c r="D28" s="14" t="n">
        <f aca="false">AVERAGE(B28:C28)</f>
        <v>70</v>
      </c>
    </row>
    <row r="29" customFormat="false" ht="15" hidden="false" customHeight="false" outlineLevel="0" collapsed="false">
      <c r="A29" s="6" t="s">
        <v>152</v>
      </c>
      <c r="B29" s="13" t="n">
        <v>0</v>
      </c>
      <c r="C29" s="13" t="n">
        <v>0</v>
      </c>
      <c r="D29" s="14" t="n">
        <f aca="false">AVERAGE(B29:C29)</f>
        <v>0</v>
      </c>
    </row>
    <row r="30" customFormat="false" ht="15" hidden="false" customHeight="false" outlineLevel="0" collapsed="false">
      <c r="A30" s="5" t="s">
        <v>153</v>
      </c>
      <c r="B30" s="15" t="n">
        <f aca="false">SUM(B26:B29)</f>
        <v>120</v>
      </c>
      <c r="C30" s="15" t="n">
        <f aca="false">SUM(C26:C29)</f>
        <v>330</v>
      </c>
      <c r="D30" s="15" t="n">
        <f aca="false">SUM(D26:D29)</f>
        <v>225</v>
      </c>
    </row>
    <row r="31" customFormat="false" ht="15" hidden="false" customHeight="false" outlineLevel="0" collapsed="false">
      <c r="B31" s="16"/>
      <c r="C31" s="16"/>
      <c r="D31" s="16"/>
    </row>
    <row r="32" customFormat="false" ht="15" hidden="false" customHeight="false" outlineLevel="0" collapsed="false">
      <c r="A32" s="5" t="s">
        <v>154</v>
      </c>
      <c r="B32" s="15" t="n">
        <f aca="false">B21+B30</f>
        <v>162</v>
      </c>
      <c r="C32" s="15" t="n">
        <f aca="false">C21+C30</f>
        <v>400</v>
      </c>
      <c r="D32" s="15" t="n">
        <f aca="false">D21+D30</f>
        <v>281</v>
      </c>
    </row>
    <row r="33" customFormat="false" ht="15" hidden="false" customHeight="false" outlineLevel="0" collapsed="false">
      <c r="A33" s="5" t="s">
        <v>155</v>
      </c>
      <c r="B33" s="15" t="n">
        <f aca="false">$B$6+B32</f>
        <v>198.92</v>
      </c>
      <c r="C33" s="15" t="n">
        <f aca="false">$B$6+C32</f>
        <v>436.92</v>
      </c>
      <c r="D33" s="15" t="n">
        <f aca="false">$B$6+D32</f>
        <v>317.92</v>
      </c>
    </row>
    <row r="34" customFormat="false" ht="15" hidden="false" customHeight="false" outlineLevel="0" collapsed="false">
      <c r="B34" s="16"/>
      <c r="C34" s="16"/>
      <c r="D34" s="16"/>
    </row>
    <row r="35" customFormat="false" ht="15" hidden="false" customHeight="false" outlineLevel="0" collapsed="false">
      <c r="A35" s="5" t="s">
        <v>156</v>
      </c>
      <c r="B35" s="18"/>
      <c r="C35" s="16"/>
      <c r="D35" s="16"/>
    </row>
    <row r="36" customFormat="false" ht="15" hidden="false" customHeight="false" outlineLevel="0" collapsed="false">
      <c r="A36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2026-10-11T11:16:40Z</dcterms:created>
  <dc:creator>openpyxl</dc:creator>
  <dc:description/>
  <dc:language>en-US</dc:language>
  <cp:lastModifiedBy/>
  <dcterms:modified xsi:type="dcterms:W3CDTF">2026-10-11T11:16:40Z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